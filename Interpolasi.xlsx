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E8E94D98-0A0E-45FC-AAD7-C342A54777EF}" xr6:coauthVersionLast="47" xr6:coauthVersionMax="47" xr10:uidLastSave="{00000000-0000-0000-0000-000000000000}"/>
  <bookViews>
    <workbookView xWindow="-110" yWindow="-110" windowWidth="19420" windowHeight="10300" xr2:uid="{276BDD76-4BA4-4574-AEE1-136B181ED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2" i="1"/>
  <c r="B25" i="1"/>
  <c r="B24" i="1"/>
  <c r="B23" i="1"/>
  <c r="B26" i="1"/>
  <c r="E10" i="1"/>
  <c r="E9" i="1"/>
  <c r="E8" i="1"/>
  <c r="E3" i="1"/>
  <c r="E4" i="1"/>
  <c r="E5" i="1"/>
</calcChain>
</file>

<file path=xl/sharedStrings.xml><?xml version="1.0" encoding="utf-8"?>
<sst xmlns="http://schemas.openxmlformats.org/spreadsheetml/2006/main" count="39" uniqueCount="31">
  <si>
    <t>X1</t>
  </si>
  <si>
    <t>X2</t>
  </si>
  <si>
    <t>X3</t>
  </si>
  <si>
    <t>X4</t>
  </si>
  <si>
    <t>X5</t>
  </si>
  <si>
    <t>X</t>
  </si>
  <si>
    <t>f(X)</t>
  </si>
  <si>
    <t>f[xi,xj]</t>
  </si>
  <si>
    <t>f[x2,x1]=(f(x2)-f(x1))/(x2-x1)</t>
  </si>
  <si>
    <t>f[x3,x2]</t>
  </si>
  <si>
    <t>f[x4,x3]</t>
  </si>
  <si>
    <t>f[x5,x4]</t>
  </si>
  <si>
    <t>f[xi,xj,xk]</t>
  </si>
  <si>
    <t>f[x3,x2,x1]=(f[x3,x2]-f[x2,x1])/(x3-x1)</t>
  </si>
  <si>
    <t>f[x4,x3,x2]</t>
  </si>
  <si>
    <t>f[x5,x4,x3]</t>
  </si>
  <si>
    <t>f[xi,xj,xk,xl]</t>
  </si>
  <si>
    <t>f[x4,x3,x2,x1]=(f[x4,x3,x2]-f[x3,x2,x1])/(x4-x1)</t>
  </si>
  <si>
    <t>f[x5,x4,x3,x2]</t>
  </si>
  <si>
    <t>p1(x)</t>
  </si>
  <si>
    <t>p2(x)</t>
  </si>
  <si>
    <t>p3(x)</t>
  </si>
  <si>
    <t>p4(x)</t>
  </si>
  <si>
    <t>f(x0)+(x-x0) f(x1)+(x-x1)*f[x2,x1]</t>
  </si>
  <si>
    <t>f(x0)+(x-x0) f(x1)+(x-x1)*f[x2,x1]+(x-x1)*(x-x2)*f[x3,x2,x1]</t>
  </si>
  <si>
    <t>p(4)</t>
  </si>
  <si>
    <t>Koefisien</t>
  </si>
  <si>
    <t>jika X
dimulai 
dari X1</t>
  </si>
  <si>
    <t>*f[x4,x3,x2,x1]</t>
  </si>
  <si>
    <t>f(x0)+(x-x0) f(x1)+(x-x1)*f[x2,x1]+(x-x1)*(x-x2)*f[x3,x2,x1]+(x-x1)*(x-x2)*(x-x3)</t>
  </si>
  <si>
    <t>*f[x4,x3,x2,x1]+(x-x1)*(x-x2)*(x-x3)*(x-x4)*f[x5,x4,x3,x2,x1]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</si>
</sst>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165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0F9C-A996-4A7E-A4C3-14B83DA044A7}">
  <dimension ref="A1:E26"/>
  <sheetViews>
    <sheetView tabSelected="1" workbookViewId="0">
      <selection activeCell="F22" sqref="F22"/>
    </sheetView>
  </sheetViews>
  <sheetFormatPr defaultRowHeight="15.5" x14ac:dyDescent="0.35"/>
  <cols>
    <col min="1" max="1" width="8.7265625" style="1" customWidth="1"/>
    <col min="2" max="2" width="13.453125" style="1" bestFit="1" customWidth="1"/>
    <col min="3" max="3" width="7.08984375" style="1" customWidth="1"/>
    <col min="4" max="4" width="44.36328125" style="1" bestFit="1" customWidth="1"/>
    <col min="5" max="5" width="12.26953125" style="1" bestFit="1" customWidth="1"/>
    <col min="6" max="6" width="36" style="1" bestFit="1" customWidth="1"/>
    <col min="7" max="7" width="9.81640625" style="1" bestFit="1" customWidth="1"/>
    <col min="8" max="8" width="44.36328125" style="1" bestFit="1" customWidth="1"/>
    <col min="9" max="9" width="11.7265625" style="1" bestFit="1" customWidth="1"/>
    <col min="10" max="10" width="8.7265625" style="1"/>
    <col min="11" max="11" width="44.36328125" style="1" bestFit="1" customWidth="1"/>
    <col min="12" max="12" width="12.08984375" style="1" bestFit="1" customWidth="1"/>
    <col min="13" max="13" width="44.36328125" style="1" bestFit="1" customWidth="1"/>
    <col min="14" max="14" width="12.08984375" style="1" bestFit="1" customWidth="1"/>
    <col min="15" max="16384" width="8.7265625" style="1"/>
  </cols>
  <sheetData>
    <row r="1" spans="1:5" x14ac:dyDescent="0.35">
      <c r="A1" s="2"/>
      <c r="B1" s="4" t="s">
        <v>5</v>
      </c>
      <c r="C1" s="4" t="s">
        <v>6</v>
      </c>
      <c r="D1" s="4" t="s">
        <v>7</v>
      </c>
      <c r="E1" s="4" t="s">
        <v>7</v>
      </c>
    </row>
    <row r="2" spans="1:5" x14ac:dyDescent="0.35">
      <c r="A2" s="2" t="s">
        <v>0</v>
      </c>
      <c r="B2" s="2">
        <v>1</v>
      </c>
      <c r="C2" s="2">
        <v>1.5</v>
      </c>
      <c r="D2" s="2" t="s">
        <v>8</v>
      </c>
      <c r="E2" s="2">
        <f>(C3-C2)/(B3-B2)</f>
        <v>4.25</v>
      </c>
    </row>
    <row r="3" spans="1:5" x14ac:dyDescent="0.35">
      <c r="A3" s="2" t="s">
        <v>1</v>
      </c>
      <c r="B3" s="2">
        <v>3</v>
      </c>
      <c r="C3" s="2">
        <v>10</v>
      </c>
      <c r="D3" s="2" t="s">
        <v>9</v>
      </c>
      <c r="E3" s="2">
        <f t="shared" ref="E3:E5" si="0">(C4-C3)/(B4-B3)</f>
        <v>2.5</v>
      </c>
    </row>
    <row r="4" spans="1:5" x14ac:dyDescent="0.35">
      <c r="A4" s="2" t="s">
        <v>2</v>
      </c>
      <c r="B4" s="2">
        <v>5</v>
      </c>
      <c r="C4" s="2">
        <v>15</v>
      </c>
      <c r="D4" s="2" t="s">
        <v>10</v>
      </c>
      <c r="E4" s="2">
        <f t="shared" si="0"/>
        <v>3</v>
      </c>
    </row>
    <row r="5" spans="1:5" x14ac:dyDescent="0.35">
      <c r="A5" s="2" t="s">
        <v>3</v>
      </c>
      <c r="B5" s="2">
        <v>7</v>
      </c>
      <c r="C5" s="2">
        <v>21</v>
      </c>
      <c r="D5" s="2" t="s">
        <v>11</v>
      </c>
      <c r="E5" s="2">
        <f t="shared" si="0"/>
        <v>4.5</v>
      </c>
    </row>
    <row r="6" spans="1:5" x14ac:dyDescent="0.35">
      <c r="A6" s="2" t="s">
        <v>4</v>
      </c>
      <c r="B6" s="2">
        <v>9</v>
      </c>
      <c r="C6" s="2">
        <v>30</v>
      </c>
      <c r="D6" s="2"/>
      <c r="E6" s="2"/>
    </row>
    <row r="7" spans="1:5" x14ac:dyDescent="0.35">
      <c r="D7" s="4" t="s">
        <v>12</v>
      </c>
      <c r="E7" s="4" t="s">
        <v>12</v>
      </c>
    </row>
    <row r="8" spans="1:5" x14ac:dyDescent="0.35">
      <c r="D8" s="2" t="s">
        <v>13</v>
      </c>
      <c r="E8" s="2">
        <f>(E3-E2)/(B4-B2)</f>
        <v>-0.4375</v>
      </c>
    </row>
    <row r="9" spans="1:5" x14ac:dyDescent="0.35">
      <c r="D9" s="2" t="s">
        <v>14</v>
      </c>
      <c r="E9" s="2">
        <f>(E4-E3)/(B5-B3)</f>
        <v>0.125</v>
      </c>
    </row>
    <row r="10" spans="1:5" x14ac:dyDescent="0.35">
      <c r="D10" s="2" t="s">
        <v>15</v>
      </c>
      <c r="E10" s="2">
        <f>(E5-E4)/(B6-B4)</f>
        <v>0.375</v>
      </c>
    </row>
    <row r="11" spans="1:5" x14ac:dyDescent="0.35">
      <c r="D11" s="4" t="s">
        <v>16</v>
      </c>
      <c r="E11" s="4" t="s">
        <v>16</v>
      </c>
    </row>
    <row r="12" spans="1:5" x14ac:dyDescent="0.35">
      <c r="D12" s="2" t="s">
        <v>17</v>
      </c>
      <c r="E12" s="2">
        <f>(E9-E8)/(B5-B2)</f>
        <v>9.375E-2</v>
      </c>
    </row>
    <row r="13" spans="1:5" x14ac:dyDescent="0.35">
      <c r="D13" s="2" t="s">
        <v>18</v>
      </c>
      <c r="E13" s="3">
        <f>(E10-E9)/(B6-B3)</f>
        <v>4.1666666666666664E-2</v>
      </c>
    </row>
    <row r="14" spans="1:5" x14ac:dyDescent="0.35">
      <c r="D14" s="5" t="s">
        <v>26</v>
      </c>
      <c r="E14" s="2">
        <f>(E13-E12)/(B6-B2)</f>
        <v>-6.510416666666667E-3</v>
      </c>
    </row>
    <row r="16" spans="1:5" x14ac:dyDescent="0.35">
      <c r="A16" s="1" t="s">
        <v>19</v>
      </c>
      <c r="B16" s="1" t="s">
        <v>23</v>
      </c>
    </row>
    <row r="17" spans="1:2" x14ac:dyDescent="0.35">
      <c r="A17" s="1" t="s">
        <v>20</v>
      </c>
      <c r="B17" s="1" t="s">
        <v>24</v>
      </c>
    </row>
    <row r="18" spans="1:2" x14ac:dyDescent="0.35">
      <c r="A18" s="1" t="s">
        <v>21</v>
      </c>
      <c r="B18" s="8" t="s">
        <v>29</v>
      </c>
    </row>
    <row r="19" spans="1:2" x14ac:dyDescent="0.35">
      <c r="B19" s="8" t="s">
        <v>28</v>
      </c>
    </row>
    <row r="20" spans="1:2" x14ac:dyDescent="0.35">
      <c r="A20" s="1" t="s">
        <v>22</v>
      </c>
      <c r="B20" s="1" t="s">
        <v>29</v>
      </c>
    </row>
    <row r="21" spans="1:2" x14ac:dyDescent="0.35">
      <c r="B21" s="1" t="s">
        <v>30</v>
      </c>
    </row>
    <row r="22" spans="1:2" ht="45" x14ac:dyDescent="0.35">
      <c r="A22" s="6" t="s">
        <v>27</v>
      </c>
      <c r="B22" s="9" t="s">
        <v>25</v>
      </c>
    </row>
    <row r="23" spans="1:2" x14ac:dyDescent="0.35">
      <c r="A23" s="2" t="s">
        <v>19</v>
      </c>
      <c r="B23" s="2">
        <f>C2+(4-B2)*E2</f>
        <v>14.25</v>
      </c>
    </row>
    <row r="24" spans="1:2" x14ac:dyDescent="0.35">
      <c r="A24" s="2" t="s">
        <v>20</v>
      </c>
      <c r="B24" s="2">
        <f>C2+(4-B2)*E2+(4-B2)*(4-B3)*E8</f>
        <v>12.9375</v>
      </c>
    </row>
    <row r="25" spans="1:2" x14ac:dyDescent="0.35">
      <c r="A25" s="2" t="s">
        <v>21</v>
      </c>
      <c r="B25" s="10">
        <f>C2+(4-B2)*E2+(4-B2)*(4-B3)*E8+(4-B2)*(4-B3)*(4-B4)*E12</f>
        <v>12.65625</v>
      </c>
    </row>
    <row r="26" spans="1:2" x14ac:dyDescent="0.35">
      <c r="A26" s="2" t="s">
        <v>22</v>
      </c>
      <c r="B26" s="7">
        <f>C2+(4-B2)*E2+(4-B2)*(4-B3)*E8+(4-B2)*(4-B3)*(4-B4)*E12+(4-B2)*(4-B3)*(4-B4)*(4-B5)*E14</f>
        <v>12.59765625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2026-04-30T04:09:26Z</dcterms:created>
  <dcterms:modified xsi:type="dcterms:W3CDTF">2026-06-14T12:00:59Z</dcterms:modified>
</cp:coreProperties>
</file>